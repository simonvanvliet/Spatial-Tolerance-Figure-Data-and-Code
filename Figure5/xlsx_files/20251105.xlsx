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cientificData/Users/Giulia(botgiu00)/Papers/bottacin2025/Figure_Data/Figure5/5B_checkerboards_tolerance/"/>
    </mc:Choice>
  </mc:AlternateContent>
  <xr:revisionPtr revIDLastSave="0" documentId="13_ncr:1_{F75664AF-24D7-5A4A-B60D-3DC56B8FBEC9}" xr6:coauthVersionLast="47" xr6:coauthVersionMax="47" xr10:uidLastSave="{00000000-0000-0000-0000-000000000000}"/>
  <bookViews>
    <workbookView xWindow="2200" yWindow="760" windowWidth="28040" windowHeight="17180" xr2:uid="{40FBD620-C3B6-FA44-B304-829A82593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K19" i="1"/>
  <c r="K20" i="1"/>
  <c r="K22" i="1"/>
  <c r="K23" i="1"/>
  <c r="K24" i="1"/>
  <c r="K25" i="1"/>
  <c r="K30" i="1"/>
  <c r="K31" i="1"/>
  <c r="K32" i="1"/>
  <c r="J33" i="1"/>
  <c r="J32" i="1"/>
  <c r="J31" i="1"/>
  <c r="J30" i="1"/>
  <c r="J25" i="1"/>
  <c r="J24" i="1"/>
  <c r="J23" i="1"/>
  <c r="J22" i="1"/>
  <c r="J20" i="1"/>
  <c r="J1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J18" i="1" s="1"/>
  <c r="K18" i="1" s="1"/>
  <c r="H19" i="1"/>
  <c r="H20" i="1"/>
  <c r="H21" i="1"/>
  <c r="J21" i="1" s="1"/>
  <c r="K21" i="1" s="1"/>
  <c r="H22" i="1"/>
  <c r="H23" i="1"/>
  <c r="H24" i="1"/>
  <c r="H25" i="1"/>
  <c r="H26" i="1"/>
  <c r="H27" i="1"/>
  <c r="J29" i="1" s="1"/>
  <c r="K29" i="1" s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  <c r="J27" i="1" l="1"/>
  <c r="J28" i="1"/>
  <c r="K28" i="1" s="1"/>
  <c r="K27" i="1"/>
  <c r="J26" i="1"/>
  <c r="K26" i="1" s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18" i="1"/>
</calcChain>
</file>

<file path=xl/sharedStrings.xml><?xml version="1.0" encoding="utf-8"?>
<sst xmlns="http://schemas.openxmlformats.org/spreadsheetml/2006/main" count="155" uniqueCount="20">
  <si>
    <t>colonies</t>
  </si>
  <si>
    <t>dilution</t>
  </si>
  <si>
    <t>cfu</t>
  </si>
  <si>
    <t>target</t>
  </si>
  <si>
    <t>partner</t>
  </si>
  <si>
    <t>S. aureus</t>
  </si>
  <si>
    <t>volume</t>
  </si>
  <si>
    <t>checkerboard</t>
  </si>
  <si>
    <t>mixed</t>
  </si>
  <si>
    <t>P. aeruginosa wt</t>
  </si>
  <si>
    <t>P. aeruginosa ∆∆rhlApqsL</t>
  </si>
  <si>
    <t>P. aeruginosa pqsL+</t>
  </si>
  <si>
    <t>P. aeruginosa rhlAB+</t>
  </si>
  <si>
    <t>timepoint</t>
  </si>
  <si>
    <t>small</t>
  </si>
  <si>
    <t>medium</t>
  </si>
  <si>
    <t>big</t>
  </si>
  <si>
    <t>survival</t>
  </si>
  <si>
    <t>cfu_substract</t>
  </si>
  <si>
    <t>survival_substract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</si>
</sst>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10" fontId="0" fillId="0" borderId="0" xfId="0" applyNumberFormat="1"/>
    <xf numFmtId="0" fontId="2" fillId="0" borderId="0" xfId="0" applyFont="1"/>
    <xf numFmtId="11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E2B9-9A73-0641-A635-40652FD2BAA8}">
  <dimension ref="A1:N57"/>
  <sheetViews>
    <sheetView tabSelected="1" topLeftCell="A28" workbookViewId="0">
      <selection activeCell="E34" sqref="E34"/>
    </sheetView>
  </sheetViews>
  <sheetFormatPr baseColWidth="10" defaultRowHeight="16" x14ac:dyDescent="0.2"/>
  <cols>
    <col min="1" max="1" width="25.33203125" customWidth="1"/>
    <col min="2" max="2" width="22.1640625" customWidth="1"/>
  </cols>
  <sheetData>
    <row r="1" spans="1:11" x14ac:dyDescent="0.2">
      <c r="A1" s="4" t="s">
        <v>3</v>
      </c>
      <c r="B1" s="4" t="s">
        <v>4</v>
      </c>
      <c r="C1" s="4" t="s">
        <v>13</v>
      </c>
      <c r="D1" s="4" t="s">
        <v>7</v>
      </c>
      <c r="E1" s="4" t="s">
        <v>0</v>
      </c>
      <c r="F1" s="4" t="s">
        <v>1</v>
      </c>
      <c r="G1" s="4" t="s">
        <v>6</v>
      </c>
      <c r="H1" s="4" t="s">
        <v>2</v>
      </c>
      <c r="I1" s="4" t="s">
        <v>17</v>
      </c>
      <c r="J1" s="4" t="s">
        <v>18</v>
      </c>
      <c r="K1" s="4" t="s">
        <v>19</v>
      </c>
    </row>
    <row r="2" spans="1:11" x14ac:dyDescent="0.2">
      <c r="A2" s="1" t="s">
        <v>5</v>
      </c>
      <c r="B2" s="1" t="s">
        <v>9</v>
      </c>
      <c r="C2" s="4">
        <v>0</v>
      </c>
      <c r="D2" s="4" t="s">
        <v>8</v>
      </c>
      <c r="E2" s="4">
        <v>14</v>
      </c>
      <c r="F2" s="4">
        <v>1E-4</v>
      </c>
      <c r="G2" s="4">
        <v>4</v>
      </c>
      <c r="H2" s="5">
        <f xml:space="preserve"> E2/F2/G2</f>
        <v>35000</v>
      </c>
      <c r="I2" s="6">
        <v>1</v>
      </c>
      <c r="J2" s="4"/>
      <c r="K2" s="4"/>
    </row>
    <row r="3" spans="1:11" x14ac:dyDescent="0.2">
      <c r="A3" s="1" t="s">
        <v>5</v>
      </c>
      <c r="B3" s="1" t="s">
        <v>10</v>
      </c>
      <c r="C3" s="4">
        <v>0</v>
      </c>
      <c r="D3" s="4" t="s">
        <v>8</v>
      </c>
      <c r="E3" s="4">
        <v>14</v>
      </c>
      <c r="F3" s="4">
        <v>1E-4</v>
      </c>
      <c r="G3" s="4">
        <v>4</v>
      </c>
      <c r="H3" s="5">
        <f t="shared" ref="H3:H49" si="0" xml:space="preserve"> E3/F3/G3</f>
        <v>35000</v>
      </c>
      <c r="I3" s="6">
        <v>1</v>
      </c>
      <c r="J3" s="4"/>
      <c r="K3" s="4"/>
    </row>
    <row r="4" spans="1:11" x14ac:dyDescent="0.2">
      <c r="A4" s="1" t="s">
        <v>5</v>
      </c>
      <c r="B4" s="1" t="s">
        <v>11</v>
      </c>
      <c r="C4" s="4">
        <v>0</v>
      </c>
      <c r="D4" s="4" t="s">
        <v>8</v>
      </c>
      <c r="E4" s="4">
        <v>15</v>
      </c>
      <c r="F4" s="4">
        <v>1E-4</v>
      </c>
      <c r="G4" s="4">
        <v>4</v>
      </c>
      <c r="H4" s="5">
        <f t="shared" si="0"/>
        <v>37500</v>
      </c>
      <c r="I4" s="6">
        <v>1</v>
      </c>
      <c r="J4" s="4"/>
      <c r="K4" s="4"/>
    </row>
    <row r="5" spans="1:11" x14ac:dyDescent="0.2">
      <c r="A5" s="1" t="s">
        <v>5</v>
      </c>
      <c r="B5" s="1" t="s">
        <v>12</v>
      </c>
      <c r="C5" s="4">
        <v>0</v>
      </c>
      <c r="D5" s="4" t="s">
        <v>8</v>
      </c>
      <c r="E5" s="4">
        <v>17</v>
      </c>
      <c r="F5" s="4">
        <v>1E-4</v>
      </c>
      <c r="G5" s="4">
        <v>4</v>
      </c>
      <c r="H5" s="5">
        <f t="shared" si="0"/>
        <v>42500</v>
      </c>
      <c r="I5" s="6">
        <v>1</v>
      </c>
      <c r="J5" s="4"/>
      <c r="K5" s="4"/>
    </row>
    <row r="6" spans="1:11" x14ac:dyDescent="0.2">
      <c r="A6" s="1" t="s">
        <v>5</v>
      </c>
      <c r="B6" s="1" t="s">
        <v>9</v>
      </c>
      <c r="C6" s="4">
        <v>0</v>
      </c>
      <c r="D6" s="4" t="s">
        <v>14</v>
      </c>
      <c r="E6" s="4">
        <v>13</v>
      </c>
      <c r="F6" s="4">
        <v>1E-4</v>
      </c>
      <c r="G6" s="4">
        <v>4</v>
      </c>
      <c r="H6" s="5">
        <f t="shared" si="0"/>
        <v>32500</v>
      </c>
      <c r="I6" s="6">
        <v>1</v>
      </c>
      <c r="J6" s="4"/>
      <c r="K6" s="4"/>
    </row>
    <row r="7" spans="1:11" x14ac:dyDescent="0.2">
      <c r="A7" s="1" t="s">
        <v>5</v>
      </c>
      <c r="B7" s="1" t="s">
        <v>10</v>
      </c>
      <c r="C7" s="4">
        <v>0</v>
      </c>
      <c r="D7" s="4" t="s">
        <v>14</v>
      </c>
      <c r="E7" s="4">
        <v>18</v>
      </c>
      <c r="F7" s="4">
        <v>1E-4</v>
      </c>
      <c r="G7" s="4">
        <v>4</v>
      </c>
      <c r="H7" s="5">
        <f t="shared" si="0"/>
        <v>45000</v>
      </c>
      <c r="I7" s="6">
        <v>1</v>
      </c>
      <c r="J7" s="4"/>
      <c r="K7" s="4"/>
    </row>
    <row r="8" spans="1:11" x14ac:dyDescent="0.2">
      <c r="A8" s="1" t="s">
        <v>5</v>
      </c>
      <c r="B8" s="1" t="s">
        <v>11</v>
      </c>
      <c r="C8" s="4">
        <v>0</v>
      </c>
      <c r="D8" s="4" t="s">
        <v>14</v>
      </c>
      <c r="E8" s="4">
        <v>14</v>
      </c>
      <c r="F8" s="4">
        <v>1E-4</v>
      </c>
      <c r="G8" s="4">
        <v>4</v>
      </c>
      <c r="H8" s="5">
        <f t="shared" si="0"/>
        <v>35000</v>
      </c>
      <c r="I8" s="6">
        <v>1</v>
      </c>
      <c r="J8" s="4"/>
      <c r="K8" s="4"/>
    </row>
    <row r="9" spans="1:11" x14ac:dyDescent="0.2">
      <c r="A9" s="1" t="s">
        <v>5</v>
      </c>
      <c r="B9" s="1" t="s">
        <v>12</v>
      </c>
      <c r="C9" s="4">
        <v>0</v>
      </c>
      <c r="D9" s="4" t="s">
        <v>14</v>
      </c>
      <c r="E9" s="4">
        <v>21</v>
      </c>
      <c r="F9" s="4">
        <v>1E-4</v>
      </c>
      <c r="G9" s="4">
        <v>4</v>
      </c>
      <c r="H9" s="5">
        <f t="shared" si="0"/>
        <v>52500</v>
      </c>
      <c r="I9" s="6">
        <v>1</v>
      </c>
      <c r="J9" s="4"/>
      <c r="K9" s="4"/>
    </row>
    <row r="10" spans="1:11" x14ac:dyDescent="0.2">
      <c r="A10" s="1" t="s">
        <v>5</v>
      </c>
      <c r="B10" s="1" t="s">
        <v>9</v>
      </c>
      <c r="C10" s="4">
        <v>0</v>
      </c>
      <c r="D10" s="4" t="s">
        <v>15</v>
      </c>
      <c r="E10" s="4">
        <v>19</v>
      </c>
      <c r="F10" s="4">
        <v>1E-4</v>
      </c>
      <c r="G10" s="4">
        <v>4</v>
      </c>
      <c r="H10" s="5">
        <f t="shared" si="0"/>
        <v>47500</v>
      </c>
      <c r="I10" s="6">
        <v>1</v>
      </c>
      <c r="J10" s="4"/>
      <c r="K10" s="4"/>
    </row>
    <row r="11" spans="1:11" x14ac:dyDescent="0.2">
      <c r="A11" s="1" t="s">
        <v>5</v>
      </c>
      <c r="B11" s="1" t="s">
        <v>10</v>
      </c>
      <c r="C11" s="4">
        <v>0</v>
      </c>
      <c r="D11" s="4" t="s">
        <v>15</v>
      </c>
      <c r="E11" s="4">
        <v>17</v>
      </c>
      <c r="F11" s="4">
        <v>1E-4</v>
      </c>
      <c r="G11" s="4">
        <v>4</v>
      </c>
      <c r="H11" s="5">
        <f t="shared" si="0"/>
        <v>42500</v>
      </c>
      <c r="I11" s="6">
        <v>1</v>
      </c>
      <c r="J11" s="4"/>
      <c r="K11" s="4"/>
    </row>
    <row r="12" spans="1:11" x14ac:dyDescent="0.2">
      <c r="A12" s="1" t="s">
        <v>5</v>
      </c>
      <c r="B12" s="1" t="s">
        <v>11</v>
      </c>
      <c r="C12" s="4">
        <v>0</v>
      </c>
      <c r="D12" s="4" t="s">
        <v>15</v>
      </c>
      <c r="E12" s="4">
        <v>17</v>
      </c>
      <c r="F12" s="4">
        <v>1E-4</v>
      </c>
      <c r="G12" s="4">
        <v>4</v>
      </c>
      <c r="H12" s="5">
        <f t="shared" si="0"/>
        <v>42500</v>
      </c>
      <c r="I12" s="6">
        <v>1</v>
      </c>
      <c r="J12" s="4"/>
      <c r="K12" s="4"/>
    </row>
    <row r="13" spans="1:11" x14ac:dyDescent="0.2">
      <c r="A13" s="1" t="s">
        <v>5</v>
      </c>
      <c r="B13" s="1" t="s">
        <v>12</v>
      </c>
      <c r="C13" s="4">
        <v>0</v>
      </c>
      <c r="D13" s="4" t="s">
        <v>15</v>
      </c>
      <c r="E13" s="4">
        <v>18</v>
      </c>
      <c r="F13" s="4">
        <v>1E-4</v>
      </c>
      <c r="G13" s="4">
        <v>4</v>
      </c>
      <c r="H13" s="5">
        <f t="shared" si="0"/>
        <v>45000</v>
      </c>
      <c r="I13" s="6">
        <v>1</v>
      </c>
      <c r="J13" s="4"/>
      <c r="K13" s="4"/>
    </row>
    <row r="14" spans="1:11" x14ac:dyDescent="0.2">
      <c r="A14" s="1" t="s">
        <v>5</v>
      </c>
      <c r="B14" s="1" t="s">
        <v>9</v>
      </c>
      <c r="C14" s="4">
        <v>0</v>
      </c>
      <c r="D14" s="4" t="s">
        <v>16</v>
      </c>
      <c r="E14" s="4">
        <v>16</v>
      </c>
      <c r="F14" s="4">
        <v>1E-4</v>
      </c>
      <c r="G14" s="4">
        <v>4</v>
      </c>
      <c r="H14" s="5">
        <f t="shared" si="0"/>
        <v>40000</v>
      </c>
      <c r="I14" s="6">
        <v>1</v>
      </c>
      <c r="J14" s="4"/>
      <c r="K14" s="4"/>
    </row>
    <row r="15" spans="1:11" x14ac:dyDescent="0.2">
      <c r="A15" s="1" t="s">
        <v>5</v>
      </c>
      <c r="B15" s="1" t="s">
        <v>10</v>
      </c>
      <c r="C15" s="4">
        <v>0</v>
      </c>
      <c r="D15" s="4" t="s">
        <v>16</v>
      </c>
      <c r="E15" s="4">
        <v>11</v>
      </c>
      <c r="F15" s="4">
        <v>1E-4</v>
      </c>
      <c r="G15" s="4">
        <v>4</v>
      </c>
      <c r="H15" s="5">
        <f t="shared" si="0"/>
        <v>27500</v>
      </c>
      <c r="I15" s="6">
        <v>1</v>
      </c>
      <c r="J15" s="4"/>
      <c r="K15" s="4"/>
    </row>
    <row r="16" spans="1:11" x14ac:dyDescent="0.2">
      <c r="A16" s="1" t="s">
        <v>5</v>
      </c>
      <c r="B16" s="1" t="s">
        <v>11</v>
      </c>
      <c r="C16" s="4">
        <v>0</v>
      </c>
      <c r="D16" s="4" t="s">
        <v>16</v>
      </c>
      <c r="E16" s="4">
        <v>16</v>
      </c>
      <c r="F16" s="4">
        <v>1E-4</v>
      </c>
      <c r="G16" s="4">
        <v>4</v>
      </c>
      <c r="H16" s="5">
        <f t="shared" si="0"/>
        <v>40000</v>
      </c>
      <c r="I16" s="6">
        <v>1</v>
      </c>
      <c r="J16" s="4"/>
      <c r="K16" s="4"/>
    </row>
    <row r="17" spans="1:14" x14ac:dyDescent="0.2">
      <c r="A17" s="1" t="s">
        <v>5</v>
      </c>
      <c r="B17" s="1" t="s">
        <v>12</v>
      </c>
      <c r="C17" s="4">
        <v>0</v>
      </c>
      <c r="D17" s="4" t="s">
        <v>16</v>
      </c>
      <c r="E17" s="4">
        <v>17</v>
      </c>
      <c r="F17" s="4">
        <v>1E-4</v>
      </c>
      <c r="G17" s="4">
        <v>4</v>
      </c>
      <c r="H17" s="5">
        <f t="shared" si="0"/>
        <v>42500</v>
      </c>
      <c r="I17" s="6">
        <v>1</v>
      </c>
      <c r="J17" s="4"/>
      <c r="K17" s="4"/>
    </row>
    <row r="18" spans="1:14" x14ac:dyDescent="0.2">
      <c r="A18" s="1" t="s">
        <v>5</v>
      </c>
      <c r="B18" s="1" t="s">
        <v>9</v>
      </c>
      <c r="C18" s="4">
        <v>1</v>
      </c>
      <c r="D18" s="4" t="s">
        <v>8</v>
      </c>
      <c r="E18" s="4">
        <v>32</v>
      </c>
      <c r="F18" s="4">
        <v>0.1</v>
      </c>
      <c r="G18" s="4">
        <v>100</v>
      </c>
      <c r="H18" s="5">
        <f t="shared" si="0"/>
        <v>3.2</v>
      </c>
      <c r="I18" s="6">
        <f xml:space="preserve"> H18/H2</f>
        <v>9.1428571428571432E-5</v>
      </c>
      <c r="J18" s="5">
        <f xml:space="preserve"> H18-H19</f>
        <v>2.4700000000000002</v>
      </c>
      <c r="K18" s="6">
        <f xml:space="preserve"> J18/H2</f>
        <v>7.0571428571428575E-5</v>
      </c>
      <c r="N18" s="4"/>
    </row>
    <row r="19" spans="1:14" x14ac:dyDescent="0.2">
      <c r="A19" s="1" t="s">
        <v>5</v>
      </c>
      <c r="B19" s="1" t="s">
        <v>10</v>
      </c>
      <c r="C19" s="4">
        <v>1</v>
      </c>
      <c r="D19" s="4" t="s">
        <v>8</v>
      </c>
      <c r="E19" s="4">
        <v>73</v>
      </c>
      <c r="F19" s="4">
        <v>1</v>
      </c>
      <c r="G19" s="4">
        <v>100</v>
      </c>
      <c r="H19" s="5">
        <f t="shared" si="0"/>
        <v>0.73</v>
      </c>
      <c r="I19" s="6">
        <f t="shared" ref="I19:I33" si="1" xml:space="preserve"> H19/H3</f>
        <v>2.0857142857142857E-5</v>
      </c>
      <c r="J19" s="5">
        <f xml:space="preserve"> H19-H19</f>
        <v>0</v>
      </c>
      <c r="K19" s="6">
        <f t="shared" ref="K19:K32" si="2" xml:space="preserve"> J19/H3</f>
        <v>0</v>
      </c>
      <c r="N19" s="4"/>
    </row>
    <row r="20" spans="1:14" x14ac:dyDescent="0.2">
      <c r="A20" s="1" t="s">
        <v>5</v>
      </c>
      <c r="B20" s="1" t="s">
        <v>11</v>
      </c>
      <c r="C20" s="4">
        <v>1</v>
      </c>
      <c r="D20" s="4" t="s">
        <v>8</v>
      </c>
      <c r="E20" s="4">
        <v>232</v>
      </c>
      <c r="F20" s="4">
        <v>0.1</v>
      </c>
      <c r="G20" s="4">
        <v>100</v>
      </c>
      <c r="H20" s="5">
        <f t="shared" si="0"/>
        <v>23.2</v>
      </c>
      <c r="I20" s="6">
        <f t="shared" si="1"/>
        <v>6.1866666666666667E-4</v>
      </c>
      <c r="J20" s="5">
        <f xml:space="preserve"> H20-H19</f>
        <v>22.47</v>
      </c>
      <c r="K20" s="6">
        <f t="shared" si="2"/>
        <v>5.9919999999999993E-4</v>
      </c>
      <c r="N20" s="4"/>
    </row>
    <row r="21" spans="1:14" x14ac:dyDescent="0.2">
      <c r="A21" s="1" t="s">
        <v>5</v>
      </c>
      <c r="B21" s="1" t="s">
        <v>12</v>
      </c>
      <c r="C21" s="4">
        <v>1</v>
      </c>
      <c r="D21" s="4" t="s">
        <v>8</v>
      </c>
      <c r="E21" s="4">
        <v>14</v>
      </c>
      <c r="F21" s="4">
        <v>1</v>
      </c>
      <c r="G21" s="4">
        <v>100</v>
      </c>
      <c r="H21" s="5">
        <f t="shared" si="0"/>
        <v>0.14000000000000001</v>
      </c>
      <c r="I21" s="6">
        <f t="shared" si="1"/>
        <v>3.294117647058824E-6</v>
      </c>
      <c r="J21" s="5">
        <f xml:space="preserve"> H21-H19</f>
        <v>-0.59</v>
      </c>
      <c r="K21" s="6">
        <f t="shared" si="2"/>
        <v>-1.388235294117647E-5</v>
      </c>
      <c r="N21" s="4"/>
    </row>
    <row r="22" spans="1:14" x14ac:dyDescent="0.2">
      <c r="A22" s="1" t="s">
        <v>5</v>
      </c>
      <c r="B22" s="1" t="s">
        <v>9</v>
      </c>
      <c r="C22" s="4">
        <v>1</v>
      </c>
      <c r="D22" s="4" t="s">
        <v>14</v>
      </c>
      <c r="E22" s="4">
        <v>82</v>
      </c>
      <c r="F22" s="4">
        <v>1E-3</v>
      </c>
      <c r="G22" s="4">
        <v>100</v>
      </c>
      <c r="H22" s="5">
        <f t="shared" si="0"/>
        <v>820</v>
      </c>
      <c r="I22" s="6">
        <f t="shared" si="1"/>
        <v>2.523076923076923E-2</v>
      </c>
      <c r="J22" s="5">
        <f xml:space="preserve"> H22-H23</f>
        <v>380</v>
      </c>
      <c r="K22" s="6">
        <f t="shared" si="2"/>
        <v>1.1692307692307693E-2</v>
      </c>
      <c r="L22" s="2"/>
      <c r="M22" s="3"/>
      <c r="N22" s="4"/>
    </row>
    <row r="23" spans="1:14" x14ac:dyDescent="0.2">
      <c r="A23" s="1" t="s">
        <v>5</v>
      </c>
      <c r="B23" s="1" t="s">
        <v>10</v>
      </c>
      <c r="C23" s="4">
        <v>1</v>
      </c>
      <c r="D23" s="4" t="s">
        <v>14</v>
      </c>
      <c r="E23" s="4">
        <v>44</v>
      </c>
      <c r="F23" s="4">
        <v>1E-3</v>
      </c>
      <c r="G23" s="4">
        <v>100</v>
      </c>
      <c r="H23" s="5">
        <f t="shared" si="0"/>
        <v>440</v>
      </c>
      <c r="I23" s="6">
        <f t="shared" si="1"/>
        <v>9.7777777777777776E-3</v>
      </c>
      <c r="J23" s="5">
        <f xml:space="preserve"> H23-H23</f>
        <v>0</v>
      </c>
      <c r="K23" s="6">
        <f t="shared" si="2"/>
        <v>0</v>
      </c>
      <c r="L23" s="2"/>
      <c r="M23" s="3"/>
      <c r="N23" s="4"/>
    </row>
    <row r="24" spans="1:14" x14ac:dyDescent="0.2">
      <c r="A24" s="1" t="s">
        <v>5</v>
      </c>
      <c r="B24" s="1" t="s">
        <v>11</v>
      </c>
      <c r="C24" s="4">
        <v>1</v>
      </c>
      <c r="D24" s="4" t="s">
        <v>14</v>
      </c>
      <c r="E24" s="4">
        <v>93</v>
      </c>
      <c r="F24" s="4">
        <v>1E-3</v>
      </c>
      <c r="G24" s="4">
        <v>100</v>
      </c>
      <c r="H24" s="5">
        <f t="shared" si="0"/>
        <v>930</v>
      </c>
      <c r="I24" s="6">
        <f t="shared" si="1"/>
        <v>2.6571428571428572E-2</v>
      </c>
      <c r="J24" s="5">
        <f xml:space="preserve"> H24-H23</f>
        <v>490</v>
      </c>
      <c r="K24" s="6">
        <f t="shared" si="2"/>
        <v>1.4E-2</v>
      </c>
      <c r="L24" s="2"/>
      <c r="M24" s="3"/>
      <c r="N24" s="4"/>
    </row>
    <row r="25" spans="1:14" x14ac:dyDescent="0.2">
      <c r="A25" s="1" t="s">
        <v>5</v>
      </c>
      <c r="B25" s="1" t="s">
        <v>12</v>
      </c>
      <c r="C25" s="4">
        <v>1</v>
      </c>
      <c r="D25" s="4" t="s">
        <v>14</v>
      </c>
      <c r="E25" s="4">
        <v>50</v>
      </c>
      <c r="F25" s="4">
        <v>1E-3</v>
      </c>
      <c r="G25" s="4">
        <v>100</v>
      </c>
      <c r="H25" s="5">
        <f t="shared" si="0"/>
        <v>500</v>
      </c>
      <c r="I25" s="6">
        <f t="shared" si="1"/>
        <v>9.5238095238095247E-3</v>
      </c>
      <c r="J25" s="5">
        <f xml:space="preserve"> H25-H23</f>
        <v>60</v>
      </c>
      <c r="K25" s="6">
        <f t="shared" si="2"/>
        <v>1.1428571428571429E-3</v>
      </c>
      <c r="L25" s="2"/>
      <c r="M25" s="3"/>
      <c r="N25" s="4"/>
    </row>
    <row r="26" spans="1:14" x14ac:dyDescent="0.2">
      <c r="A26" s="1" t="s">
        <v>5</v>
      </c>
      <c r="B26" s="1" t="s">
        <v>9</v>
      </c>
      <c r="C26" s="4">
        <v>1</v>
      </c>
      <c r="D26" s="4" t="s">
        <v>15</v>
      </c>
      <c r="E26" s="4">
        <v>88</v>
      </c>
      <c r="F26" s="4">
        <v>1E-3</v>
      </c>
      <c r="G26" s="4">
        <v>100</v>
      </c>
      <c r="H26" s="5">
        <f t="shared" si="0"/>
        <v>880</v>
      </c>
      <c r="I26" s="6">
        <f t="shared" si="1"/>
        <v>1.8526315789473686E-2</v>
      </c>
      <c r="J26" s="5">
        <f xml:space="preserve"> H26-H27</f>
        <v>-20</v>
      </c>
      <c r="K26" s="6">
        <f t="shared" si="2"/>
        <v>-4.2105263157894739E-4</v>
      </c>
      <c r="M26" s="3"/>
      <c r="N26" s="4"/>
    </row>
    <row r="27" spans="1:14" x14ac:dyDescent="0.2">
      <c r="A27" s="1" t="s">
        <v>5</v>
      </c>
      <c r="B27" s="1" t="s">
        <v>10</v>
      </c>
      <c r="C27" s="4">
        <v>1</v>
      </c>
      <c r="D27" s="4" t="s">
        <v>15</v>
      </c>
      <c r="E27" s="4">
        <v>90</v>
      </c>
      <c r="F27" s="4">
        <v>1E-3</v>
      </c>
      <c r="G27" s="4">
        <v>100</v>
      </c>
      <c r="H27" s="5">
        <f t="shared" si="0"/>
        <v>900</v>
      </c>
      <c r="I27" s="6">
        <f t="shared" si="1"/>
        <v>2.1176470588235293E-2</v>
      </c>
      <c r="J27" s="5">
        <f xml:space="preserve"> H27-H27</f>
        <v>0</v>
      </c>
      <c r="K27" s="6">
        <f t="shared" si="2"/>
        <v>0</v>
      </c>
      <c r="L27" s="2"/>
      <c r="M27" s="3"/>
      <c r="N27" s="4"/>
    </row>
    <row r="28" spans="1:14" x14ac:dyDescent="0.2">
      <c r="A28" s="1" t="s">
        <v>5</v>
      </c>
      <c r="B28" s="1" t="s">
        <v>11</v>
      </c>
      <c r="C28" s="4">
        <v>1</v>
      </c>
      <c r="D28" s="4" t="s">
        <v>15</v>
      </c>
      <c r="E28" s="4">
        <v>80</v>
      </c>
      <c r="F28" s="4">
        <v>1E-3</v>
      </c>
      <c r="G28" s="4">
        <v>100</v>
      </c>
      <c r="H28" s="5">
        <f t="shared" si="0"/>
        <v>800</v>
      </c>
      <c r="I28" s="6">
        <f t="shared" si="1"/>
        <v>1.8823529411764704E-2</v>
      </c>
      <c r="J28" s="5">
        <f xml:space="preserve"> H28-H27</f>
        <v>-100</v>
      </c>
      <c r="K28" s="6">
        <f t="shared" si="2"/>
        <v>-2.352941176470588E-3</v>
      </c>
      <c r="L28" s="2"/>
      <c r="M28" s="3"/>
      <c r="N28" s="4"/>
    </row>
    <row r="29" spans="1:14" x14ac:dyDescent="0.2">
      <c r="A29" s="1" t="s">
        <v>5</v>
      </c>
      <c r="B29" s="1" t="s">
        <v>12</v>
      </c>
      <c r="C29" s="4">
        <v>1</v>
      </c>
      <c r="D29" s="4" t="s">
        <v>15</v>
      </c>
      <c r="E29" s="4">
        <v>65</v>
      </c>
      <c r="F29" s="4">
        <v>1E-3</v>
      </c>
      <c r="G29" s="4">
        <v>100</v>
      </c>
      <c r="H29" s="5">
        <f t="shared" si="0"/>
        <v>650</v>
      </c>
      <c r="I29" s="6">
        <f t="shared" si="1"/>
        <v>1.4444444444444444E-2</v>
      </c>
      <c r="J29" s="5">
        <f xml:space="preserve"> H29-H27</f>
        <v>-250</v>
      </c>
      <c r="K29" s="6">
        <f t="shared" si="2"/>
        <v>-5.5555555555555558E-3</v>
      </c>
      <c r="L29" s="2"/>
      <c r="M29" s="3"/>
      <c r="N29" s="4"/>
    </row>
    <row r="30" spans="1:14" x14ac:dyDescent="0.2">
      <c r="A30" s="1" t="s">
        <v>5</v>
      </c>
      <c r="B30" s="1" t="s">
        <v>9</v>
      </c>
      <c r="C30" s="4">
        <v>1</v>
      </c>
      <c r="D30" s="4" t="s">
        <v>16</v>
      </c>
      <c r="E30" s="4">
        <v>37</v>
      </c>
      <c r="F30" s="4">
        <v>0.1</v>
      </c>
      <c r="G30" s="4">
        <v>100</v>
      </c>
      <c r="H30" s="5">
        <f t="shared" si="0"/>
        <v>3.7</v>
      </c>
      <c r="I30" s="6">
        <f t="shared" si="1"/>
        <v>9.2499999999999999E-5</v>
      </c>
      <c r="J30" s="5">
        <f xml:space="preserve"> H30-H31</f>
        <v>0.30000000000000027</v>
      </c>
      <c r="K30" s="6">
        <f t="shared" si="2"/>
        <v>7.500000000000007E-6</v>
      </c>
      <c r="L30" s="2"/>
      <c r="M30" s="3"/>
      <c r="N30" s="4"/>
    </row>
    <row r="31" spans="1:14" x14ac:dyDescent="0.2">
      <c r="A31" s="1" t="s">
        <v>5</v>
      </c>
      <c r="B31" s="1" t="s">
        <v>10</v>
      </c>
      <c r="C31" s="4">
        <v>1</v>
      </c>
      <c r="D31" s="4" t="s">
        <v>16</v>
      </c>
      <c r="E31" s="4">
        <v>34</v>
      </c>
      <c r="F31" s="4">
        <v>0.1</v>
      </c>
      <c r="G31" s="4">
        <v>100</v>
      </c>
      <c r="H31" s="5">
        <f t="shared" si="0"/>
        <v>3.4</v>
      </c>
      <c r="I31" s="6">
        <f t="shared" si="1"/>
        <v>1.2363636363636364E-4</v>
      </c>
      <c r="J31" s="5">
        <f xml:space="preserve"> H31-H31</f>
        <v>0</v>
      </c>
      <c r="K31" s="6">
        <f t="shared" si="2"/>
        <v>0</v>
      </c>
      <c r="M31" s="3"/>
      <c r="N31" s="4"/>
    </row>
    <row r="32" spans="1:14" x14ac:dyDescent="0.2">
      <c r="A32" s="1" t="s">
        <v>5</v>
      </c>
      <c r="B32" s="1" t="s">
        <v>11</v>
      </c>
      <c r="C32" s="4">
        <v>1</v>
      </c>
      <c r="D32" s="4" t="s">
        <v>16</v>
      </c>
      <c r="E32" s="4">
        <v>65</v>
      </c>
      <c r="F32" s="4">
        <v>0.1</v>
      </c>
      <c r="G32" s="4">
        <v>100</v>
      </c>
      <c r="H32" s="5">
        <f t="shared" si="0"/>
        <v>6.5</v>
      </c>
      <c r="I32" s="6">
        <f t="shared" si="1"/>
        <v>1.6249999999999999E-4</v>
      </c>
      <c r="J32" s="5">
        <f xml:space="preserve"> H32-H31</f>
        <v>3.1</v>
      </c>
      <c r="K32" s="6">
        <f t="shared" si="2"/>
        <v>7.75E-5</v>
      </c>
      <c r="L32" s="2"/>
      <c r="M32" s="3"/>
      <c r="N32" s="4"/>
    </row>
    <row r="33" spans="1:14" x14ac:dyDescent="0.2">
      <c r="A33" s="1" t="s">
        <v>5</v>
      </c>
      <c r="B33" s="1" t="s">
        <v>12</v>
      </c>
      <c r="C33" s="4">
        <v>1</v>
      </c>
      <c r="D33" s="4" t="s">
        <v>16</v>
      </c>
      <c r="E33" s="4">
        <v>52</v>
      </c>
      <c r="F33" s="4">
        <v>0.1</v>
      </c>
      <c r="G33" s="4">
        <v>100</v>
      </c>
      <c r="H33" s="5">
        <f t="shared" si="0"/>
        <v>5.2</v>
      </c>
      <c r="I33" s="6">
        <f t="shared" si="1"/>
        <v>1.223529411764706E-4</v>
      </c>
      <c r="J33" s="5">
        <f xml:space="preserve"> H33-H31</f>
        <v>1.8000000000000003</v>
      </c>
      <c r="K33" s="6">
        <f xml:space="preserve"> J33/H17</f>
        <v>4.2352941176470591E-5</v>
      </c>
      <c r="L33" s="2"/>
      <c r="M33" s="3"/>
      <c r="N33" s="4"/>
    </row>
    <row r="34" spans="1:14" x14ac:dyDescent="0.2">
      <c r="A34" s="1" t="s">
        <v>9</v>
      </c>
      <c r="B34" s="1" t="s">
        <v>5</v>
      </c>
      <c r="C34" s="4">
        <v>0</v>
      </c>
      <c r="D34" s="4" t="s">
        <v>8</v>
      </c>
      <c r="E34" s="4">
        <v>24</v>
      </c>
      <c r="F34" s="4">
        <v>1E-3</v>
      </c>
      <c r="G34" s="4">
        <v>4</v>
      </c>
      <c r="H34" s="5">
        <f t="shared" si="0"/>
        <v>6000</v>
      </c>
      <c r="I34" s="6">
        <v>1</v>
      </c>
      <c r="J34" s="4"/>
      <c r="K34" s="4"/>
      <c r="L34" s="2"/>
      <c r="M34" s="3"/>
    </row>
    <row r="35" spans="1:14" x14ac:dyDescent="0.2">
      <c r="A35" s="1" t="s">
        <v>10</v>
      </c>
      <c r="B35" s="1" t="s">
        <v>5</v>
      </c>
      <c r="C35" s="4">
        <v>0</v>
      </c>
      <c r="D35" s="4" t="s">
        <v>8</v>
      </c>
      <c r="E35" s="4">
        <v>15</v>
      </c>
      <c r="F35" s="4">
        <v>1E-3</v>
      </c>
      <c r="G35" s="4">
        <v>4</v>
      </c>
      <c r="H35" s="5">
        <f t="shared" si="0"/>
        <v>3750</v>
      </c>
      <c r="I35" s="6">
        <v>1</v>
      </c>
      <c r="J35" s="4"/>
      <c r="K35" s="4"/>
      <c r="L35" s="2"/>
      <c r="M35" s="3"/>
    </row>
    <row r="36" spans="1:14" x14ac:dyDescent="0.2">
      <c r="A36" s="1" t="s">
        <v>11</v>
      </c>
      <c r="B36" s="1" t="s">
        <v>5</v>
      </c>
      <c r="C36" s="4">
        <v>0</v>
      </c>
      <c r="D36" s="4" t="s">
        <v>8</v>
      </c>
      <c r="E36" s="4">
        <v>11</v>
      </c>
      <c r="F36" s="4">
        <v>1E-3</v>
      </c>
      <c r="G36" s="4">
        <v>4</v>
      </c>
      <c r="H36" s="5">
        <f t="shared" si="0"/>
        <v>2750</v>
      </c>
      <c r="I36" s="6">
        <v>1</v>
      </c>
      <c r="J36" s="4"/>
      <c r="K36" s="4"/>
      <c r="M36" s="3"/>
    </row>
    <row r="37" spans="1:14" x14ac:dyDescent="0.2">
      <c r="A37" s="1" t="s">
        <v>12</v>
      </c>
      <c r="B37" s="1" t="s">
        <v>5</v>
      </c>
      <c r="C37" s="4">
        <v>0</v>
      </c>
      <c r="D37" s="4" t="s">
        <v>8</v>
      </c>
      <c r="E37" s="4">
        <v>14</v>
      </c>
      <c r="F37" s="4">
        <v>1E-3</v>
      </c>
      <c r="G37" s="4">
        <v>4</v>
      </c>
      <c r="H37" s="5">
        <f t="shared" si="0"/>
        <v>3500</v>
      </c>
      <c r="I37" s="6">
        <v>1</v>
      </c>
      <c r="J37" s="4"/>
      <c r="K37" s="4"/>
      <c r="L37" s="2"/>
      <c r="M37" s="3"/>
    </row>
    <row r="38" spans="1:14" x14ac:dyDescent="0.2">
      <c r="A38" s="1" t="s">
        <v>9</v>
      </c>
      <c r="B38" s="1" t="s">
        <v>5</v>
      </c>
      <c r="C38" s="4">
        <v>0</v>
      </c>
      <c r="D38" s="4" t="s">
        <v>14</v>
      </c>
      <c r="E38" s="4">
        <v>22</v>
      </c>
      <c r="F38" s="4">
        <v>1E-3</v>
      </c>
      <c r="G38" s="4">
        <v>4</v>
      </c>
      <c r="H38" s="5">
        <f t="shared" si="0"/>
        <v>5500</v>
      </c>
      <c r="I38" s="6">
        <v>1</v>
      </c>
      <c r="J38" s="4"/>
      <c r="K38" s="4"/>
      <c r="L38" s="2"/>
      <c r="M38" s="3"/>
    </row>
    <row r="39" spans="1:14" x14ac:dyDescent="0.2">
      <c r="A39" s="1" t="s">
        <v>10</v>
      </c>
      <c r="B39" s="1" t="s">
        <v>5</v>
      </c>
      <c r="C39" s="4">
        <v>0</v>
      </c>
      <c r="D39" s="4" t="s">
        <v>14</v>
      </c>
      <c r="E39" s="4">
        <v>18</v>
      </c>
      <c r="F39" s="4">
        <v>1E-3</v>
      </c>
      <c r="G39" s="4">
        <v>4</v>
      </c>
      <c r="H39" s="5">
        <f t="shared" si="0"/>
        <v>4500</v>
      </c>
      <c r="I39" s="6">
        <v>1</v>
      </c>
      <c r="J39" s="4"/>
      <c r="K39" s="4"/>
      <c r="L39" s="2"/>
      <c r="M39" s="3"/>
    </row>
    <row r="40" spans="1:14" x14ac:dyDescent="0.2">
      <c r="A40" s="1" t="s">
        <v>11</v>
      </c>
      <c r="B40" s="1" t="s">
        <v>5</v>
      </c>
      <c r="C40" s="4">
        <v>0</v>
      </c>
      <c r="D40" s="4" t="s">
        <v>14</v>
      </c>
      <c r="E40" s="4">
        <v>21</v>
      </c>
      <c r="F40" s="4">
        <v>1E-3</v>
      </c>
      <c r="G40" s="4">
        <v>4</v>
      </c>
      <c r="H40" s="5">
        <f t="shared" si="0"/>
        <v>5250</v>
      </c>
      <c r="I40" s="6">
        <v>1</v>
      </c>
      <c r="J40" s="4"/>
      <c r="K40" s="4"/>
      <c r="L40" s="2"/>
      <c r="M40" s="3"/>
    </row>
    <row r="41" spans="1:14" x14ac:dyDescent="0.2">
      <c r="A41" s="1" t="s">
        <v>12</v>
      </c>
      <c r="B41" s="1" t="s">
        <v>5</v>
      </c>
      <c r="C41" s="4">
        <v>0</v>
      </c>
      <c r="D41" s="4" t="s">
        <v>14</v>
      </c>
      <c r="E41" s="4">
        <v>14</v>
      </c>
      <c r="F41" s="4">
        <v>1E-3</v>
      </c>
      <c r="G41" s="4">
        <v>4</v>
      </c>
      <c r="H41" s="5">
        <f t="shared" si="0"/>
        <v>3500</v>
      </c>
      <c r="I41" s="6">
        <v>1</v>
      </c>
      <c r="J41" s="4"/>
      <c r="K41" s="4"/>
    </row>
    <row r="42" spans="1:14" x14ac:dyDescent="0.2">
      <c r="A42" s="1" t="s">
        <v>9</v>
      </c>
      <c r="B42" s="1" t="s">
        <v>5</v>
      </c>
      <c r="C42" s="4">
        <v>0</v>
      </c>
      <c r="D42" s="4" t="s">
        <v>15</v>
      </c>
      <c r="E42" s="4">
        <v>33</v>
      </c>
      <c r="F42" s="4">
        <v>1E-3</v>
      </c>
      <c r="G42" s="4">
        <v>4</v>
      </c>
      <c r="H42" s="5">
        <f t="shared" si="0"/>
        <v>8250</v>
      </c>
      <c r="I42" s="6">
        <v>1</v>
      </c>
      <c r="J42" s="4"/>
      <c r="K42" s="4"/>
    </row>
    <row r="43" spans="1:14" x14ac:dyDescent="0.2">
      <c r="A43" s="1" t="s">
        <v>10</v>
      </c>
      <c r="B43" s="1" t="s">
        <v>5</v>
      </c>
      <c r="C43" s="4">
        <v>0</v>
      </c>
      <c r="D43" s="4" t="s">
        <v>15</v>
      </c>
      <c r="E43" s="4">
        <v>26</v>
      </c>
      <c r="F43" s="4">
        <v>1E-3</v>
      </c>
      <c r="G43" s="4">
        <v>4</v>
      </c>
      <c r="H43" s="5">
        <f t="shared" si="0"/>
        <v>6500</v>
      </c>
      <c r="I43" s="6">
        <v>1</v>
      </c>
      <c r="J43" s="4"/>
      <c r="K43" s="4"/>
    </row>
    <row r="44" spans="1:14" x14ac:dyDescent="0.2">
      <c r="A44" s="1" t="s">
        <v>11</v>
      </c>
      <c r="B44" s="1" t="s">
        <v>5</v>
      </c>
      <c r="C44" s="4">
        <v>0</v>
      </c>
      <c r="D44" s="4" t="s">
        <v>15</v>
      </c>
      <c r="E44" s="4">
        <v>22</v>
      </c>
      <c r="F44" s="4">
        <v>1E-3</v>
      </c>
      <c r="G44" s="4">
        <v>4</v>
      </c>
      <c r="H44" s="5">
        <f t="shared" si="0"/>
        <v>5500</v>
      </c>
      <c r="I44" s="6">
        <v>1</v>
      </c>
      <c r="J44" s="4"/>
      <c r="K44" s="4"/>
    </row>
    <row r="45" spans="1:14" x14ac:dyDescent="0.2">
      <c r="A45" s="1" t="s">
        <v>12</v>
      </c>
      <c r="B45" s="1" t="s">
        <v>5</v>
      </c>
      <c r="C45" s="4">
        <v>0</v>
      </c>
      <c r="D45" s="4" t="s">
        <v>15</v>
      </c>
      <c r="E45" s="4">
        <v>18</v>
      </c>
      <c r="F45" s="4">
        <v>1E-3</v>
      </c>
      <c r="G45" s="4">
        <v>4</v>
      </c>
      <c r="H45" s="5">
        <f t="shared" si="0"/>
        <v>4500</v>
      </c>
      <c r="I45" s="6">
        <v>1</v>
      </c>
      <c r="J45" s="4"/>
      <c r="K45" s="4"/>
    </row>
    <row r="46" spans="1:14" x14ac:dyDescent="0.2">
      <c r="A46" s="1" t="s">
        <v>9</v>
      </c>
      <c r="B46" s="1" t="s">
        <v>5</v>
      </c>
      <c r="C46" s="4">
        <v>0</v>
      </c>
      <c r="D46" s="4" t="s">
        <v>16</v>
      </c>
      <c r="E46" s="4">
        <v>12</v>
      </c>
      <c r="F46" s="4">
        <v>1E-3</v>
      </c>
      <c r="G46" s="4">
        <v>4</v>
      </c>
      <c r="H46" s="5">
        <f t="shared" si="0"/>
        <v>3000</v>
      </c>
      <c r="I46" s="6">
        <v>1</v>
      </c>
      <c r="J46" s="4"/>
      <c r="K46" s="4"/>
    </row>
    <row r="47" spans="1:14" x14ac:dyDescent="0.2">
      <c r="A47" s="1" t="s">
        <v>10</v>
      </c>
      <c r="B47" s="1" t="s">
        <v>5</v>
      </c>
      <c r="C47" s="4">
        <v>0</v>
      </c>
      <c r="D47" s="4" t="s">
        <v>16</v>
      </c>
      <c r="E47" s="4">
        <v>25</v>
      </c>
      <c r="F47" s="4">
        <v>1E-3</v>
      </c>
      <c r="G47" s="4">
        <v>4</v>
      </c>
      <c r="H47" s="5">
        <f t="shared" si="0"/>
        <v>6250</v>
      </c>
      <c r="I47" s="6">
        <v>1</v>
      </c>
      <c r="J47" s="4"/>
      <c r="K47" s="4"/>
    </row>
    <row r="48" spans="1:14" x14ac:dyDescent="0.2">
      <c r="A48" s="1" t="s">
        <v>11</v>
      </c>
      <c r="B48" s="1" t="s">
        <v>5</v>
      </c>
      <c r="C48" s="4">
        <v>0</v>
      </c>
      <c r="D48" s="4" t="s">
        <v>16</v>
      </c>
      <c r="E48" s="4">
        <v>16</v>
      </c>
      <c r="F48" s="4">
        <v>1E-3</v>
      </c>
      <c r="G48" s="4">
        <v>4</v>
      </c>
      <c r="H48" s="5">
        <f t="shared" si="0"/>
        <v>4000</v>
      </c>
      <c r="I48" s="6">
        <v>1</v>
      </c>
      <c r="J48" s="4"/>
      <c r="K48" s="4"/>
    </row>
    <row r="49" spans="1:11" x14ac:dyDescent="0.2">
      <c r="A49" s="1" t="s">
        <v>12</v>
      </c>
      <c r="B49" s="1" t="s">
        <v>5</v>
      </c>
      <c r="C49" s="4">
        <v>0</v>
      </c>
      <c r="D49" s="4" t="s">
        <v>16</v>
      </c>
      <c r="E49" s="4">
        <v>16</v>
      </c>
      <c r="F49" s="4">
        <v>1E-3</v>
      </c>
      <c r="G49" s="4">
        <v>4</v>
      </c>
      <c r="H49" s="5">
        <f t="shared" si="0"/>
        <v>4000</v>
      </c>
      <c r="I49" s="6">
        <v>1</v>
      </c>
      <c r="J49" s="4"/>
      <c r="K49" s="4"/>
    </row>
    <row r="50" spans="1:11" x14ac:dyDescent="0.2">
      <c r="A50" s="1"/>
      <c r="B50" s="1"/>
      <c r="H50" s="2"/>
      <c r="I50" s="3"/>
    </row>
    <row r="51" spans="1:11" x14ac:dyDescent="0.2">
      <c r="A51" s="1"/>
      <c r="B51" s="1"/>
      <c r="H51" s="2"/>
      <c r="I51" s="3"/>
    </row>
    <row r="52" spans="1:11" x14ac:dyDescent="0.2">
      <c r="A52" s="1"/>
      <c r="B52" s="1"/>
      <c r="H52" s="2"/>
      <c r="I52" s="3"/>
    </row>
    <row r="53" spans="1:11" x14ac:dyDescent="0.2">
      <c r="A53" s="1"/>
      <c r="B53" s="1"/>
      <c r="H53" s="2"/>
      <c r="I53" s="3"/>
    </row>
    <row r="54" spans="1:11" x14ac:dyDescent="0.2">
      <c r="A54" s="1"/>
      <c r="B54" s="1"/>
      <c r="H54" s="2"/>
      <c r="I54" s="3"/>
    </row>
    <row r="55" spans="1:11" x14ac:dyDescent="0.2">
      <c r="A55" s="1"/>
      <c r="B55" s="1"/>
      <c r="H55" s="2"/>
      <c r="I55" s="3"/>
    </row>
    <row r="56" spans="1:11" x14ac:dyDescent="0.2">
      <c r="A56" s="1"/>
      <c r="B56" s="1"/>
      <c r="H56" s="2"/>
      <c r="I56" s="3"/>
    </row>
    <row r="57" spans="1:11" x14ac:dyDescent="0.2">
      <c r="A57" s="1"/>
      <c r="B57" s="1"/>
      <c r="H57" s="2"/>
      <c r="I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2025-11-01T10:51:45Z</dcterms:created>
  <dcterms:modified xsi:type="dcterms:W3CDTF">2026-01-06T14:28:47Z</dcterms:modified>
</cp:coreProperties>
</file>