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cientificData/Users/Giulia(botgiu00)/Papers/bottacin2025/Figure_Data/Figure5/5B_checkerboards_tolerance/"/>
    </mc:Choice>
  </mc:AlternateContent>
  <xr:revisionPtr revIDLastSave="0" documentId="13_ncr:1_{C6F14B03-A9A3-DB47-B595-E17B16CC2F8F}" xr6:coauthVersionLast="47" xr6:coauthVersionMax="47" xr10:uidLastSave="{00000000-0000-0000-0000-000000000000}"/>
  <bookViews>
    <workbookView xWindow="3140" yWindow="6400" windowWidth="28040" windowHeight="17180" xr2:uid="{40FBD620-C3B6-FA44-B304-829A82593D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K19" i="1"/>
  <c r="K20" i="1"/>
  <c r="K21" i="1"/>
  <c r="K22" i="1"/>
  <c r="K23" i="1"/>
  <c r="K24" i="1"/>
  <c r="K25" i="1"/>
  <c r="K26" i="1"/>
  <c r="K27" i="1"/>
  <c r="K28" i="1"/>
  <c r="K29" i="1"/>
  <c r="K31" i="1"/>
  <c r="K33" i="1"/>
  <c r="K18" i="1"/>
  <c r="J28" i="1"/>
  <c r="J27" i="1"/>
  <c r="J26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J33" i="1"/>
  <c r="J31" i="1"/>
  <c r="J30" i="1"/>
  <c r="K30" i="1" s="1"/>
  <c r="J29" i="1"/>
  <c r="J24" i="1"/>
  <c r="J22" i="1"/>
  <c r="J25" i="1"/>
  <c r="J23" i="1"/>
  <c r="J21" i="1"/>
  <c r="J20" i="1"/>
  <c r="J19" i="1"/>
  <c r="H20" i="1"/>
  <c r="H21" i="1"/>
  <c r="H18" i="1"/>
  <c r="H19" i="1"/>
  <c r="I21" i="1"/>
  <c r="H22" i="1"/>
  <c r="H23" i="1"/>
  <c r="H24" i="1"/>
  <c r="H25" i="1"/>
  <c r="H26" i="1"/>
  <c r="H27" i="1"/>
  <c r="I27" i="1" s="1"/>
  <c r="H28" i="1"/>
  <c r="I28" i="1" s="1"/>
  <c r="H29" i="1"/>
  <c r="I29" i="1" s="1"/>
  <c r="H30" i="1"/>
  <c r="H31" i="1"/>
  <c r="I31" i="1" s="1"/>
  <c r="H32" i="1"/>
  <c r="J32" i="1" s="1"/>
  <c r="K32" i="1" s="1"/>
  <c r="H33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H4" i="1"/>
  <c r="H5" i="1"/>
  <c r="H2" i="1"/>
  <c r="I22" i="1" l="1"/>
  <c r="I20" i="1"/>
  <c r="I30" i="1"/>
  <c r="I32" i="1"/>
  <c r="I18" i="1"/>
  <c r="I19" i="1"/>
  <c r="I26" i="1"/>
  <c r="I33" i="1"/>
  <c r="I25" i="1"/>
  <c r="I24" i="1"/>
  <c r="I23" i="1"/>
</calcChain>
</file>

<file path=xl/sharedStrings.xml><?xml version="1.0" encoding="utf-8"?>
<sst xmlns="http://schemas.openxmlformats.org/spreadsheetml/2006/main" count="155" uniqueCount="20">
  <si>
    <t>colonies</t>
  </si>
  <si>
    <t>dilution</t>
  </si>
  <si>
    <t>cfu</t>
  </si>
  <si>
    <t>target</t>
  </si>
  <si>
    <t>partner</t>
  </si>
  <si>
    <t>S. aureus</t>
  </si>
  <si>
    <t>volume</t>
  </si>
  <si>
    <t>checkerboard</t>
  </si>
  <si>
    <t>mixed</t>
  </si>
  <si>
    <t>P. aeruginosa wt</t>
  </si>
  <si>
    <t>P. aeruginosa ∆∆rhlApqsL</t>
  </si>
  <si>
    <t>P. aeruginosa pqsL+</t>
  </si>
  <si>
    <t>P. aeruginosa rhlAB+</t>
  </si>
  <si>
    <t>timepoint</t>
  </si>
  <si>
    <t>small</t>
  </si>
  <si>
    <t>medium</t>
  </si>
  <si>
    <t>big</t>
  </si>
  <si>
    <t>survival</t>
  </si>
  <si>
    <t>cfu_substract</t>
  </si>
  <si>
    <t>survival_substract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</si>
</sst>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3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1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AE2B9-9A73-0641-A635-40652FD2BAA8}">
  <dimension ref="A1:K49"/>
  <sheetViews>
    <sheetView tabSelected="1" topLeftCell="A14" workbookViewId="0">
      <selection activeCell="E35" sqref="E35"/>
    </sheetView>
  </sheetViews>
  <sheetFormatPr baseColWidth="10" defaultRowHeight="16" x14ac:dyDescent="0.2"/>
  <cols>
    <col min="1" max="1" width="25.33203125" customWidth="1"/>
    <col min="2" max="2" width="22.1640625" customWidth="1"/>
  </cols>
  <sheetData>
    <row r="1" spans="1:11" x14ac:dyDescent="0.2">
      <c r="A1" t="s">
        <v>3</v>
      </c>
      <c r="B1" t="s">
        <v>4</v>
      </c>
      <c r="C1" t="s">
        <v>13</v>
      </c>
      <c r="D1" t="s">
        <v>7</v>
      </c>
      <c r="E1" t="s">
        <v>0</v>
      </c>
      <c r="F1" t="s">
        <v>1</v>
      </c>
      <c r="G1" t="s">
        <v>6</v>
      </c>
      <c r="H1" t="s">
        <v>2</v>
      </c>
      <c r="I1" t="s">
        <v>17</v>
      </c>
      <c r="J1" t="s">
        <v>18</v>
      </c>
      <c r="K1" t="s">
        <v>19</v>
      </c>
    </row>
    <row r="2" spans="1:11" x14ac:dyDescent="0.2">
      <c r="A2" s="1" t="s">
        <v>5</v>
      </c>
      <c r="B2" s="1" t="s">
        <v>9</v>
      </c>
      <c r="C2">
        <v>0</v>
      </c>
      <c r="D2" t="s">
        <v>8</v>
      </c>
      <c r="E2">
        <v>6</v>
      </c>
      <c r="F2">
        <v>1E-4</v>
      </c>
      <c r="G2">
        <v>4</v>
      </c>
      <c r="H2" s="2">
        <f>E2/F2/G2</f>
        <v>15000</v>
      </c>
      <c r="I2" s="3">
        <v>1</v>
      </c>
    </row>
    <row r="3" spans="1:11" x14ac:dyDescent="0.2">
      <c r="A3" s="1" t="s">
        <v>5</v>
      </c>
      <c r="B3" s="1" t="s">
        <v>10</v>
      </c>
      <c r="C3">
        <v>0</v>
      </c>
      <c r="D3" t="s">
        <v>8</v>
      </c>
      <c r="E3">
        <v>8</v>
      </c>
      <c r="F3">
        <v>1E-4</v>
      </c>
      <c r="G3">
        <v>4</v>
      </c>
      <c r="H3" s="2">
        <f t="shared" ref="H3:H49" si="0">E3/F3/G3</f>
        <v>20000</v>
      </c>
      <c r="I3" s="3">
        <v>1</v>
      </c>
    </row>
    <row r="4" spans="1:11" x14ac:dyDescent="0.2">
      <c r="A4" s="1" t="s">
        <v>5</v>
      </c>
      <c r="B4" s="1" t="s">
        <v>11</v>
      </c>
      <c r="C4">
        <v>0</v>
      </c>
      <c r="D4" t="s">
        <v>8</v>
      </c>
      <c r="E4">
        <v>6</v>
      </c>
      <c r="F4">
        <v>1E-4</v>
      </c>
      <c r="G4">
        <v>4</v>
      </c>
      <c r="H4" s="2">
        <f t="shared" si="0"/>
        <v>15000</v>
      </c>
      <c r="I4" s="3">
        <v>1</v>
      </c>
    </row>
    <row r="5" spans="1:11" x14ac:dyDescent="0.2">
      <c r="A5" s="1" t="s">
        <v>5</v>
      </c>
      <c r="B5" s="1" t="s">
        <v>12</v>
      </c>
      <c r="C5">
        <v>0</v>
      </c>
      <c r="D5" t="s">
        <v>8</v>
      </c>
      <c r="E5">
        <v>9</v>
      </c>
      <c r="F5">
        <v>1E-4</v>
      </c>
      <c r="G5">
        <v>4</v>
      </c>
      <c r="H5" s="2">
        <f t="shared" si="0"/>
        <v>22500</v>
      </c>
      <c r="I5" s="3">
        <v>1</v>
      </c>
    </row>
    <row r="6" spans="1:11" x14ac:dyDescent="0.2">
      <c r="A6" s="1" t="s">
        <v>5</v>
      </c>
      <c r="B6" s="1" t="s">
        <v>9</v>
      </c>
      <c r="C6">
        <v>0</v>
      </c>
      <c r="D6" t="s">
        <v>14</v>
      </c>
      <c r="E6">
        <v>11</v>
      </c>
      <c r="F6">
        <v>1E-4</v>
      </c>
      <c r="G6">
        <v>4</v>
      </c>
      <c r="H6" s="2">
        <f t="shared" si="0"/>
        <v>27500</v>
      </c>
      <c r="I6" s="3">
        <v>1</v>
      </c>
    </row>
    <row r="7" spans="1:11" x14ac:dyDescent="0.2">
      <c r="A7" s="1" t="s">
        <v>5</v>
      </c>
      <c r="B7" s="1" t="s">
        <v>10</v>
      </c>
      <c r="C7">
        <v>0</v>
      </c>
      <c r="D7" t="s">
        <v>14</v>
      </c>
      <c r="E7">
        <v>12</v>
      </c>
      <c r="F7">
        <v>1E-4</v>
      </c>
      <c r="G7">
        <v>4</v>
      </c>
      <c r="H7" s="2">
        <f t="shared" si="0"/>
        <v>30000</v>
      </c>
      <c r="I7" s="3">
        <v>1</v>
      </c>
    </row>
    <row r="8" spans="1:11" x14ac:dyDescent="0.2">
      <c r="A8" s="1" t="s">
        <v>5</v>
      </c>
      <c r="B8" s="1" t="s">
        <v>11</v>
      </c>
      <c r="C8">
        <v>0</v>
      </c>
      <c r="D8" t="s">
        <v>14</v>
      </c>
      <c r="E8">
        <v>10</v>
      </c>
      <c r="F8">
        <v>1E-4</v>
      </c>
      <c r="G8">
        <v>4</v>
      </c>
      <c r="H8" s="2">
        <f t="shared" si="0"/>
        <v>25000</v>
      </c>
      <c r="I8" s="3">
        <v>1</v>
      </c>
    </row>
    <row r="9" spans="1:11" x14ac:dyDescent="0.2">
      <c r="A9" s="1" t="s">
        <v>5</v>
      </c>
      <c r="B9" s="1" t="s">
        <v>12</v>
      </c>
      <c r="C9">
        <v>0</v>
      </c>
      <c r="D9" t="s">
        <v>14</v>
      </c>
      <c r="E9">
        <v>15</v>
      </c>
      <c r="F9">
        <v>1E-4</v>
      </c>
      <c r="G9">
        <v>4</v>
      </c>
      <c r="H9" s="2">
        <f t="shared" si="0"/>
        <v>37500</v>
      </c>
      <c r="I9" s="3">
        <v>1</v>
      </c>
    </row>
    <row r="10" spans="1:11" x14ac:dyDescent="0.2">
      <c r="A10" s="1" t="s">
        <v>5</v>
      </c>
      <c r="B10" s="1" t="s">
        <v>9</v>
      </c>
      <c r="C10">
        <v>0</v>
      </c>
      <c r="D10" t="s">
        <v>15</v>
      </c>
      <c r="E10">
        <v>15</v>
      </c>
      <c r="F10">
        <v>1E-4</v>
      </c>
      <c r="G10">
        <v>4</v>
      </c>
      <c r="H10" s="2">
        <f t="shared" si="0"/>
        <v>37500</v>
      </c>
      <c r="I10" s="3">
        <v>1</v>
      </c>
    </row>
    <row r="11" spans="1:11" x14ac:dyDescent="0.2">
      <c r="A11" s="1" t="s">
        <v>5</v>
      </c>
      <c r="B11" s="1" t="s">
        <v>10</v>
      </c>
      <c r="C11">
        <v>0</v>
      </c>
      <c r="D11" t="s">
        <v>15</v>
      </c>
      <c r="E11">
        <v>14</v>
      </c>
      <c r="F11">
        <v>1E-4</v>
      </c>
      <c r="G11">
        <v>4</v>
      </c>
      <c r="H11" s="2">
        <f t="shared" si="0"/>
        <v>35000</v>
      </c>
      <c r="I11" s="3">
        <v>1</v>
      </c>
    </row>
    <row r="12" spans="1:11" x14ac:dyDescent="0.2">
      <c r="A12" s="1" t="s">
        <v>5</v>
      </c>
      <c r="B12" s="1" t="s">
        <v>11</v>
      </c>
      <c r="C12">
        <v>0</v>
      </c>
      <c r="D12" t="s">
        <v>15</v>
      </c>
      <c r="E12">
        <v>17</v>
      </c>
      <c r="F12">
        <v>1E-4</v>
      </c>
      <c r="G12">
        <v>4</v>
      </c>
      <c r="H12" s="2">
        <f t="shared" si="0"/>
        <v>42500</v>
      </c>
      <c r="I12" s="3">
        <v>1</v>
      </c>
    </row>
    <row r="13" spans="1:11" x14ac:dyDescent="0.2">
      <c r="A13" s="1" t="s">
        <v>5</v>
      </c>
      <c r="B13" s="1" t="s">
        <v>12</v>
      </c>
      <c r="C13">
        <v>0</v>
      </c>
      <c r="D13" t="s">
        <v>15</v>
      </c>
      <c r="E13">
        <v>13</v>
      </c>
      <c r="F13">
        <v>1E-4</v>
      </c>
      <c r="G13">
        <v>4</v>
      </c>
      <c r="H13" s="2">
        <f t="shared" si="0"/>
        <v>32500</v>
      </c>
      <c r="I13" s="3">
        <v>1</v>
      </c>
    </row>
    <row r="14" spans="1:11" x14ac:dyDescent="0.2">
      <c r="A14" s="1" t="s">
        <v>5</v>
      </c>
      <c r="B14" s="1" t="s">
        <v>9</v>
      </c>
      <c r="C14">
        <v>0</v>
      </c>
      <c r="D14" t="s">
        <v>16</v>
      </c>
      <c r="E14">
        <v>11</v>
      </c>
      <c r="F14">
        <v>1E-4</v>
      </c>
      <c r="G14">
        <v>4</v>
      </c>
      <c r="H14" s="2">
        <f t="shared" si="0"/>
        <v>27500</v>
      </c>
      <c r="I14" s="3">
        <v>1</v>
      </c>
    </row>
    <row r="15" spans="1:11" x14ac:dyDescent="0.2">
      <c r="A15" s="1" t="s">
        <v>5</v>
      </c>
      <c r="B15" s="1" t="s">
        <v>10</v>
      </c>
      <c r="C15">
        <v>0</v>
      </c>
      <c r="D15" t="s">
        <v>16</v>
      </c>
      <c r="E15">
        <v>14</v>
      </c>
      <c r="F15">
        <v>1E-4</v>
      </c>
      <c r="G15">
        <v>4</v>
      </c>
      <c r="H15" s="2">
        <f t="shared" si="0"/>
        <v>35000</v>
      </c>
      <c r="I15" s="3">
        <v>1</v>
      </c>
    </row>
    <row r="16" spans="1:11" x14ac:dyDescent="0.2">
      <c r="A16" s="1" t="s">
        <v>5</v>
      </c>
      <c r="B16" s="1" t="s">
        <v>11</v>
      </c>
      <c r="C16">
        <v>0</v>
      </c>
      <c r="D16" t="s">
        <v>16</v>
      </c>
      <c r="E16">
        <v>10</v>
      </c>
      <c r="F16">
        <v>1E-4</v>
      </c>
      <c r="G16">
        <v>4</v>
      </c>
      <c r="H16" s="2">
        <f t="shared" si="0"/>
        <v>25000</v>
      </c>
      <c r="I16" s="3">
        <v>1</v>
      </c>
    </row>
    <row r="17" spans="1:11" x14ac:dyDescent="0.2">
      <c r="A17" s="1" t="s">
        <v>5</v>
      </c>
      <c r="B17" s="1" t="s">
        <v>12</v>
      </c>
      <c r="C17">
        <v>0</v>
      </c>
      <c r="D17" t="s">
        <v>16</v>
      </c>
      <c r="E17">
        <v>14</v>
      </c>
      <c r="F17">
        <v>1E-4</v>
      </c>
      <c r="G17">
        <v>4</v>
      </c>
      <c r="H17" s="2">
        <f t="shared" si="0"/>
        <v>35000</v>
      </c>
      <c r="I17" s="3">
        <v>1</v>
      </c>
    </row>
    <row r="18" spans="1:11" x14ac:dyDescent="0.2">
      <c r="A18" s="1" t="s">
        <v>5</v>
      </c>
      <c r="B18" s="1" t="s">
        <v>9</v>
      </c>
      <c r="C18">
        <v>1</v>
      </c>
      <c r="D18" t="s">
        <v>8</v>
      </c>
      <c r="E18">
        <v>31</v>
      </c>
      <c r="F18">
        <v>0.1</v>
      </c>
      <c r="G18">
        <v>100</v>
      </c>
      <c r="H18" s="2">
        <f t="shared" si="0"/>
        <v>3.1</v>
      </c>
      <c r="I18" s="3">
        <f xml:space="preserve"> H18/H2</f>
        <v>2.0666666666666668E-4</v>
      </c>
      <c r="J18" s="2">
        <f xml:space="preserve"> H18-H19</f>
        <v>2.52</v>
      </c>
      <c r="K18" s="3">
        <f>J18/H2</f>
        <v>1.6799999999999999E-4</v>
      </c>
    </row>
    <row r="19" spans="1:11" x14ac:dyDescent="0.2">
      <c r="A19" s="1" t="s">
        <v>5</v>
      </c>
      <c r="B19" s="1" t="s">
        <v>10</v>
      </c>
      <c r="C19">
        <v>1</v>
      </c>
      <c r="D19" t="s">
        <v>8</v>
      </c>
      <c r="E19">
        <v>58</v>
      </c>
      <c r="F19">
        <v>1</v>
      </c>
      <c r="G19">
        <v>100</v>
      </c>
      <c r="H19" s="2">
        <f t="shared" si="0"/>
        <v>0.57999999999999996</v>
      </c>
      <c r="I19" s="4">
        <f t="shared" ref="I19:I32" si="1" xml:space="preserve"> H19/H3</f>
        <v>2.8999999999999997E-5</v>
      </c>
      <c r="J19" s="2">
        <f xml:space="preserve"> H19-H19</f>
        <v>0</v>
      </c>
      <c r="K19" s="3">
        <f t="shared" ref="K19:K33" si="2">J19/H3</f>
        <v>0</v>
      </c>
    </row>
    <row r="20" spans="1:11" x14ac:dyDescent="0.2">
      <c r="A20" s="1" t="s">
        <v>5</v>
      </c>
      <c r="B20" s="1" t="s">
        <v>11</v>
      </c>
      <c r="C20">
        <v>1</v>
      </c>
      <c r="D20" t="s">
        <v>8</v>
      </c>
      <c r="E20">
        <v>100</v>
      </c>
      <c r="F20">
        <v>0.1</v>
      </c>
      <c r="G20">
        <v>100</v>
      </c>
      <c r="H20" s="2">
        <f t="shared" si="0"/>
        <v>10</v>
      </c>
      <c r="I20" s="4">
        <f t="shared" si="1"/>
        <v>6.6666666666666664E-4</v>
      </c>
      <c r="J20" s="2">
        <f xml:space="preserve"> H20-H19</f>
        <v>9.42</v>
      </c>
      <c r="K20" s="3">
        <f t="shared" si="2"/>
        <v>6.2799999999999998E-4</v>
      </c>
    </row>
    <row r="21" spans="1:11" x14ac:dyDescent="0.2">
      <c r="A21" s="1" t="s">
        <v>5</v>
      </c>
      <c r="B21" s="1" t="s">
        <v>12</v>
      </c>
      <c r="C21">
        <v>1</v>
      </c>
      <c r="D21" t="s">
        <v>8</v>
      </c>
      <c r="E21">
        <v>44</v>
      </c>
      <c r="F21">
        <v>1</v>
      </c>
      <c r="G21">
        <v>100</v>
      </c>
      <c r="H21" s="2">
        <f>E21/F21/G21</f>
        <v>0.44</v>
      </c>
      <c r="I21" s="4">
        <f t="shared" si="1"/>
        <v>1.9555555555555557E-5</v>
      </c>
      <c r="J21" s="2">
        <f xml:space="preserve"> H21-H19</f>
        <v>-0.13999999999999996</v>
      </c>
      <c r="K21" s="3">
        <f t="shared" si="2"/>
        <v>-6.2222222222222206E-6</v>
      </c>
    </row>
    <row r="22" spans="1:11" x14ac:dyDescent="0.2">
      <c r="A22" s="1" t="s">
        <v>5</v>
      </c>
      <c r="B22" s="1" t="s">
        <v>9</v>
      </c>
      <c r="C22">
        <v>1</v>
      </c>
      <c r="D22" t="s">
        <v>14</v>
      </c>
      <c r="E22">
        <v>160</v>
      </c>
      <c r="F22">
        <v>1E-3</v>
      </c>
      <c r="G22">
        <v>100</v>
      </c>
      <c r="H22" s="2">
        <f t="shared" si="0"/>
        <v>1600</v>
      </c>
      <c r="I22" s="3">
        <f t="shared" si="1"/>
        <v>5.8181818181818182E-2</v>
      </c>
      <c r="J22" s="2">
        <f xml:space="preserve"> H22-H23</f>
        <v>1370</v>
      </c>
      <c r="K22" s="3">
        <f t="shared" si="2"/>
        <v>4.9818181818181817E-2</v>
      </c>
    </row>
    <row r="23" spans="1:11" x14ac:dyDescent="0.2">
      <c r="A23" s="1" t="s">
        <v>5</v>
      </c>
      <c r="B23" s="1" t="s">
        <v>10</v>
      </c>
      <c r="C23">
        <v>1</v>
      </c>
      <c r="D23" t="s">
        <v>14</v>
      </c>
      <c r="E23">
        <v>23</v>
      </c>
      <c r="F23">
        <v>1E-3</v>
      </c>
      <c r="G23">
        <v>100</v>
      </c>
      <c r="H23" s="2">
        <f t="shared" si="0"/>
        <v>230</v>
      </c>
      <c r="I23" s="3">
        <f t="shared" si="1"/>
        <v>7.6666666666666662E-3</v>
      </c>
      <c r="J23" s="2">
        <f xml:space="preserve"> H23-H23</f>
        <v>0</v>
      </c>
      <c r="K23" s="3">
        <f t="shared" si="2"/>
        <v>0</v>
      </c>
    </row>
    <row r="24" spans="1:11" x14ac:dyDescent="0.2">
      <c r="A24" s="1" t="s">
        <v>5</v>
      </c>
      <c r="B24" s="1" t="s">
        <v>11</v>
      </c>
      <c r="C24">
        <v>1</v>
      </c>
      <c r="D24" t="s">
        <v>14</v>
      </c>
      <c r="E24">
        <v>140</v>
      </c>
      <c r="F24">
        <v>1E-3</v>
      </c>
      <c r="G24">
        <v>100</v>
      </c>
      <c r="H24" s="2">
        <f t="shared" si="0"/>
        <v>1400</v>
      </c>
      <c r="I24" s="3">
        <f t="shared" si="1"/>
        <v>5.6000000000000001E-2</v>
      </c>
      <c r="J24" s="2">
        <f xml:space="preserve"> H24-H23</f>
        <v>1170</v>
      </c>
      <c r="K24" s="3">
        <f t="shared" si="2"/>
        <v>4.6800000000000001E-2</v>
      </c>
    </row>
    <row r="25" spans="1:11" x14ac:dyDescent="0.2">
      <c r="A25" s="1" t="s">
        <v>5</v>
      </c>
      <c r="B25" s="1" t="s">
        <v>12</v>
      </c>
      <c r="C25">
        <v>1</v>
      </c>
      <c r="D25" t="s">
        <v>14</v>
      </c>
      <c r="E25">
        <v>120</v>
      </c>
      <c r="F25" s="5">
        <v>1E-3</v>
      </c>
      <c r="G25">
        <v>100</v>
      </c>
      <c r="H25" s="2">
        <f t="shared" si="0"/>
        <v>1200</v>
      </c>
      <c r="I25" s="3">
        <f t="shared" si="1"/>
        <v>3.2000000000000001E-2</v>
      </c>
      <c r="J25" s="2">
        <f xml:space="preserve"> H25-H23</f>
        <v>970</v>
      </c>
      <c r="K25" s="3">
        <f t="shared" si="2"/>
        <v>2.5866666666666666E-2</v>
      </c>
    </row>
    <row r="26" spans="1:11" x14ac:dyDescent="0.2">
      <c r="A26" s="1" t="s">
        <v>5</v>
      </c>
      <c r="B26" s="1" t="s">
        <v>9</v>
      </c>
      <c r="C26">
        <v>1</v>
      </c>
      <c r="D26" t="s">
        <v>15</v>
      </c>
      <c r="E26">
        <v>120</v>
      </c>
      <c r="F26" s="5">
        <v>1E-3</v>
      </c>
      <c r="G26">
        <v>100</v>
      </c>
      <c r="H26" s="2">
        <f t="shared" si="0"/>
        <v>1200</v>
      </c>
      <c r="I26" s="3">
        <f t="shared" si="1"/>
        <v>3.2000000000000001E-2</v>
      </c>
      <c r="J26" s="2">
        <f xml:space="preserve"> H26-H27</f>
        <v>1000</v>
      </c>
      <c r="K26" s="3">
        <f t="shared" si="2"/>
        <v>2.6666666666666668E-2</v>
      </c>
    </row>
    <row r="27" spans="1:11" x14ac:dyDescent="0.2">
      <c r="A27" s="1" t="s">
        <v>5</v>
      </c>
      <c r="B27" s="1" t="s">
        <v>10</v>
      </c>
      <c r="C27">
        <v>1</v>
      </c>
      <c r="D27" t="s">
        <v>15</v>
      </c>
      <c r="E27">
        <v>20</v>
      </c>
      <c r="F27" s="5">
        <v>1E-3</v>
      </c>
      <c r="G27">
        <v>100</v>
      </c>
      <c r="H27" s="2">
        <f t="shared" si="0"/>
        <v>200</v>
      </c>
      <c r="I27" s="3">
        <f t="shared" si="1"/>
        <v>5.7142857142857143E-3</v>
      </c>
      <c r="J27" s="2">
        <f xml:space="preserve"> H27-H27</f>
        <v>0</v>
      </c>
      <c r="K27" s="3">
        <f t="shared" si="2"/>
        <v>0</v>
      </c>
    </row>
    <row r="28" spans="1:11" x14ac:dyDescent="0.2">
      <c r="A28" s="1" t="s">
        <v>5</v>
      </c>
      <c r="B28" s="1" t="s">
        <v>11</v>
      </c>
      <c r="C28">
        <v>1</v>
      </c>
      <c r="D28" t="s">
        <v>15</v>
      </c>
      <c r="E28">
        <v>130</v>
      </c>
      <c r="F28" s="5">
        <v>1E-3</v>
      </c>
      <c r="G28">
        <v>100</v>
      </c>
      <c r="H28" s="2">
        <f t="shared" si="0"/>
        <v>1300</v>
      </c>
      <c r="I28" s="3">
        <f t="shared" si="1"/>
        <v>3.0588235294117649E-2</v>
      </c>
      <c r="J28" s="2">
        <f xml:space="preserve"> H28-H27</f>
        <v>1100</v>
      </c>
      <c r="K28" s="3">
        <f t="shared" si="2"/>
        <v>2.5882352941176471E-2</v>
      </c>
    </row>
    <row r="29" spans="1:11" x14ac:dyDescent="0.2">
      <c r="A29" s="1" t="s">
        <v>5</v>
      </c>
      <c r="B29" s="1" t="s">
        <v>12</v>
      </c>
      <c r="C29">
        <v>1</v>
      </c>
      <c r="D29" t="s">
        <v>15</v>
      </c>
      <c r="E29">
        <v>59</v>
      </c>
      <c r="F29" s="5">
        <v>1E-3</v>
      </c>
      <c r="G29">
        <v>100</v>
      </c>
      <c r="H29" s="2">
        <f t="shared" si="0"/>
        <v>590</v>
      </c>
      <c r="I29" s="3">
        <f t="shared" si="1"/>
        <v>1.8153846153846152E-2</v>
      </c>
      <c r="J29" s="2">
        <f xml:space="preserve"> H29-H27</f>
        <v>390</v>
      </c>
      <c r="K29" s="3">
        <f t="shared" si="2"/>
        <v>1.2E-2</v>
      </c>
    </row>
    <row r="30" spans="1:11" x14ac:dyDescent="0.2">
      <c r="A30" s="1" t="s">
        <v>5</v>
      </c>
      <c r="B30" s="1" t="s">
        <v>9</v>
      </c>
      <c r="C30">
        <v>1</v>
      </c>
      <c r="D30" t="s">
        <v>16</v>
      </c>
      <c r="E30">
        <v>30</v>
      </c>
      <c r="F30">
        <v>0.1</v>
      </c>
      <c r="G30">
        <v>100</v>
      </c>
      <c r="H30" s="2">
        <f t="shared" si="0"/>
        <v>3</v>
      </c>
      <c r="I30" s="3">
        <f t="shared" si="1"/>
        <v>1.0909090909090909E-4</v>
      </c>
      <c r="J30" s="2">
        <f xml:space="preserve"> H30-H31</f>
        <v>-1.5</v>
      </c>
      <c r="K30" s="3">
        <f t="shared" si="2"/>
        <v>-5.4545454545454546E-5</v>
      </c>
    </row>
    <row r="31" spans="1:11" x14ac:dyDescent="0.2">
      <c r="A31" s="1" t="s">
        <v>5</v>
      </c>
      <c r="B31" s="1" t="s">
        <v>10</v>
      </c>
      <c r="C31">
        <v>1</v>
      </c>
      <c r="D31" t="s">
        <v>16</v>
      </c>
      <c r="E31">
        <v>45</v>
      </c>
      <c r="F31">
        <v>0.1</v>
      </c>
      <c r="G31">
        <v>100</v>
      </c>
      <c r="H31" s="2">
        <f t="shared" si="0"/>
        <v>4.5</v>
      </c>
      <c r="I31" s="3">
        <f t="shared" si="1"/>
        <v>1.2857142857142858E-4</v>
      </c>
      <c r="J31" s="2">
        <f xml:space="preserve"> H31-H31</f>
        <v>0</v>
      </c>
      <c r="K31" s="3">
        <f t="shared" si="2"/>
        <v>0</v>
      </c>
    </row>
    <row r="32" spans="1:11" x14ac:dyDescent="0.2">
      <c r="A32" s="1" t="s">
        <v>5</v>
      </c>
      <c r="B32" s="1" t="s">
        <v>11</v>
      </c>
      <c r="C32">
        <v>1</v>
      </c>
      <c r="D32" t="s">
        <v>16</v>
      </c>
      <c r="E32">
        <v>50</v>
      </c>
      <c r="F32">
        <v>0.1</v>
      </c>
      <c r="G32">
        <v>100</v>
      </c>
      <c r="H32" s="2">
        <f t="shared" si="0"/>
        <v>5</v>
      </c>
      <c r="I32" s="3">
        <f t="shared" si="1"/>
        <v>2.0000000000000001E-4</v>
      </c>
      <c r="J32" s="2">
        <f xml:space="preserve"> H32-H31</f>
        <v>0.5</v>
      </c>
      <c r="K32" s="3">
        <f t="shared" si="2"/>
        <v>2.0000000000000002E-5</v>
      </c>
    </row>
    <row r="33" spans="1:11" x14ac:dyDescent="0.2">
      <c r="A33" s="1" t="s">
        <v>5</v>
      </c>
      <c r="B33" s="1" t="s">
        <v>12</v>
      </c>
      <c r="C33">
        <v>1</v>
      </c>
      <c r="D33" t="s">
        <v>16</v>
      </c>
      <c r="E33">
        <v>34</v>
      </c>
      <c r="F33">
        <v>0.1</v>
      </c>
      <c r="G33">
        <v>100</v>
      </c>
      <c r="H33" s="2">
        <f t="shared" si="0"/>
        <v>3.4</v>
      </c>
      <c r="I33" s="3">
        <f xml:space="preserve"> H33/H17</f>
        <v>9.7142857142857138E-5</v>
      </c>
      <c r="J33" s="2">
        <f xml:space="preserve"> H33-H31</f>
        <v>-1.1000000000000001</v>
      </c>
      <c r="K33" s="3">
        <f t="shared" si="2"/>
        <v>-3.1428571428571431E-5</v>
      </c>
    </row>
    <row r="34" spans="1:11" x14ac:dyDescent="0.2">
      <c r="A34" s="1" t="s">
        <v>9</v>
      </c>
      <c r="B34" s="1" t="s">
        <v>5</v>
      </c>
      <c r="C34">
        <v>0</v>
      </c>
      <c r="D34" t="s">
        <v>8</v>
      </c>
      <c r="E34">
        <v>15</v>
      </c>
      <c r="F34">
        <v>1E-3</v>
      </c>
      <c r="G34">
        <v>4</v>
      </c>
      <c r="H34" s="2">
        <f t="shared" si="0"/>
        <v>3750</v>
      </c>
      <c r="I34" s="3">
        <v>1</v>
      </c>
    </row>
    <row r="35" spans="1:11" x14ac:dyDescent="0.2">
      <c r="A35" s="1" t="s">
        <v>10</v>
      </c>
      <c r="B35" s="1" t="s">
        <v>5</v>
      </c>
      <c r="C35">
        <v>0</v>
      </c>
      <c r="D35" t="s">
        <v>8</v>
      </c>
      <c r="E35">
        <v>18</v>
      </c>
      <c r="F35">
        <v>1E-3</v>
      </c>
      <c r="G35">
        <v>4</v>
      </c>
      <c r="H35" s="2">
        <f t="shared" si="0"/>
        <v>4500</v>
      </c>
      <c r="I35" s="3">
        <v>1</v>
      </c>
    </row>
    <row r="36" spans="1:11" x14ac:dyDescent="0.2">
      <c r="A36" s="1" t="s">
        <v>11</v>
      </c>
      <c r="B36" s="1" t="s">
        <v>5</v>
      </c>
      <c r="C36">
        <v>0</v>
      </c>
      <c r="D36" t="s">
        <v>8</v>
      </c>
      <c r="E36">
        <v>13</v>
      </c>
      <c r="F36">
        <v>1E-3</v>
      </c>
      <c r="G36">
        <v>4</v>
      </c>
      <c r="H36" s="2">
        <f t="shared" si="0"/>
        <v>3250</v>
      </c>
      <c r="I36" s="3">
        <v>1</v>
      </c>
    </row>
    <row r="37" spans="1:11" x14ac:dyDescent="0.2">
      <c r="A37" s="1" t="s">
        <v>12</v>
      </c>
      <c r="B37" s="1" t="s">
        <v>5</v>
      </c>
      <c r="C37">
        <v>0</v>
      </c>
      <c r="D37" t="s">
        <v>8</v>
      </c>
      <c r="E37">
        <v>10</v>
      </c>
      <c r="F37">
        <v>1E-3</v>
      </c>
      <c r="G37">
        <v>4</v>
      </c>
      <c r="H37" s="2">
        <f t="shared" si="0"/>
        <v>2500</v>
      </c>
      <c r="I37" s="3">
        <v>1</v>
      </c>
    </row>
    <row r="38" spans="1:11" x14ac:dyDescent="0.2">
      <c r="A38" s="1" t="s">
        <v>9</v>
      </c>
      <c r="B38" s="1" t="s">
        <v>5</v>
      </c>
      <c r="C38">
        <v>0</v>
      </c>
      <c r="D38" t="s">
        <v>14</v>
      </c>
      <c r="E38">
        <v>39</v>
      </c>
      <c r="F38">
        <v>1E-3</v>
      </c>
      <c r="G38">
        <v>4</v>
      </c>
      <c r="H38" s="2">
        <f t="shared" si="0"/>
        <v>9750</v>
      </c>
      <c r="I38" s="3">
        <v>1</v>
      </c>
    </row>
    <row r="39" spans="1:11" x14ac:dyDescent="0.2">
      <c r="A39" s="1" t="s">
        <v>10</v>
      </c>
      <c r="B39" s="1" t="s">
        <v>5</v>
      </c>
      <c r="C39">
        <v>0</v>
      </c>
      <c r="D39" t="s">
        <v>14</v>
      </c>
      <c r="E39">
        <v>33</v>
      </c>
      <c r="F39">
        <v>1E-3</v>
      </c>
      <c r="G39">
        <v>4</v>
      </c>
      <c r="H39" s="2">
        <f t="shared" si="0"/>
        <v>8250</v>
      </c>
      <c r="I39" s="3">
        <v>1</v>
      </c>
    </row>
    <row r="40" spans="1:11" x14ac:dyDescent="0.2">
      <c r="A40" s="1" t="s">
        <v>11</v>
      </c>
      <c r="B40" s="1" t="s">
        <v>5</v>
      </c>
      <c r="C40">
        <v>0</v>
      </c>
      <c r="D40" t="s">
        <v>14</v>
      </c>
      <c r="E40">
        <v>15</v>
      </c>
      <c r="F40">
        <v>1E-3</v>
      </c>
      <c r="G40">
        <v>4</v>
      </c>
      <c r="H40" s="2">
        <f t="shared" si="0"/>
        <v>3750</v>
      </c>
      <c r="I40" s="3">
        <v>1</v>
      </c>
    </row>
    <row r="41" spans="1:11" x14ac:dyDescent="0.2">
      <c r="A41" s="1" t="s">
        <v>12</v>
      </c>
      <c r="B41" s="1" t="s">
        <v>5</v>
      </c>
      <c r="C41">
        <v>0</v>
      </c>
      <c r="D41" t="s">
        <v>14</v>
      </c>
      <c r="E41">
        <v>14</v>
      </c>
      <c r="F41">
        <v>1E-3</v>
      </c>
      <c r="G41">
        <v>4</v>
      </c>
      <c r="H41" s="2">
        <f t="shared" si="0"/>
        <v>3500</v>
      </c>
      <c r="I41" s="3">
        <v>1</v>
      </c>
    </row>
    <row r="42" spans="1:11" x14ac:dyDescent="0.2">
      <c r="A42" s="1" t="s">
        <v>9</v>
      </c>
      <c r="B42" s="1" t="s">
        <v>5</v>
      </c>
      <c r="C42">
        <v>0</v>
      </c>
      <c r="D42" t="s">
        <v>15</v>
      </c>
      <c r="E42">
        <v>33</v>
      </c>
      <c r="F42">
        <v>1E-3</v>
      </c>
      <c r="G42">
        <v>4</v>
      </c>
      <c r="H42" s="2">
        <f t="shared" si="0"/>
        <v>8250</v>
      </c>
      <c r="I42" s="3">
        <v>1</v>
      </c>
    </row>
    <row r="43" spans="1:11" x14ac:dyDescent="0.2">
      <c r="A43" s="1" t="s">
        <v>10</v>
      </c>
      <c r="B43" s="1" t="s">
        <v>5</v>
      </c>
      <c r="C43">
        <v>0</v>
      </c>
      <c r="D43" t="s">
        <v>15</v>
      </c>
      <c r="E43">
        <v>37</v>
      </c>
      <c r="F43">
        <v>1E-3</v>
      </c>
      <c r="G43">
        <v>4</v>
      </c>
      <c r="H43" s="2">
        <f t="shared" si="0"/>
        <v>9250</v>
      </c>
      <c r="I43" s="3">
        <v>1</v>
      </c>
    </row>
    <row r="44" spans="1:11" x14ac:dyDescent="0.2">
      <c r="A44" s="1" t="s">
        <v>11</v>
      </c>
      <c r="B44" s="1" t="s">
        <v>5</v>
      </c>
      <c r="C44">
        <v>0</v>
      </c>
      <c r="D44" t="s">
        <v>15</v>
      </c>
      <c r="E44">
        <v>25</v>
      </c>
      <c r="F44">
        <v>1E-3</v>
      </c>
      <c r="G44">
        <v>4</v>
      </c>
      <c r="H44" s="2">
        <f t="shared" si="0"/>
        <v>6250</v>
      </c>
      <c r="I44" s="3">
        <v>1</v>
      </c>
    </row>
    <row r="45" spans="1:11" x14ac:dyDescent="0.2">
      <c r="A45" s="1" t="s">
        <v>12</v>
      </c>
      <c r="B45" s="1" t="s">
        <v>5</v>
      </c>
      <c r="C45">
        <v>0</v>
      </c>
      <c r="D45" t="s">
        <v>15</v>
      </c>
      <c r="E45">
        <v>20</v>
      </c>
      <c r="F45">
        <v>1E-3</v>
      </c>
      <c r="G45">
        <v>4</v>
      </c>
      <c r="H45" s="2">
        <f t="shared" si="0"/>
        <v>5000</v>
      </c>
      <c r="I45" s="3">
        <v>1</v>
      </c>
    </row>
    <row r="46" spans="1:11" x14ac:dyDescent="0.2">
      <c r="A46" s="1" t="s">
        <v>9</v>
      </c>
      <c r="B46" s="1" t="s">
        <v>5</v>
      </c>
      <c r="C46">
        <v>0</v>
      </c>
      <c r="D46" t="s">
        <v>16</v>
      </c>
      <c r="E46">
        <v>42</v>
      </c>
      <c r="F46">
        <v>1E-3</v>
      </c>
      <c r="G46">
        <v>4</v>
      </c>
      <c r="H46" s="2">
        <f t="shared" si="0"/>
        <v>10500</v>
      </c>
      <c r="I46" s="3">
        <v>1</v>
      </c>
    </row>
    <row r="47" spans="1:11" x14ac:dyDescent="0.2">
      <c r="A47" s="1" t="s">
        <v>10</v>
      </c>
      <c r="B47" s="1" t="s">
        <v>5</v>
      </c>
      <c r="C47">
        <v>0</v>
      </c>
      <c r="D47" t="s">
        <v>16</v>
      </c>
      <c r="E47">
        <v>34</v>
      </c>
      <c r="F47">
        <v>1E-3</v>
      </c>
      <c r="G47">
        <v>4</v>
      </c>
      <c r="H47" s="2">
        <f t="shared" si="0"/>
        <v>8500</v>
      </c>
      <c r="I47" s="3">
        <v>1</v>
      </c>
    </row>
    <row r="48" spans="1:11" x14ac:dyDescent="0.2">
      <c r="A48" s="1" t="s">
        <v>11</v>
      </c>
      <c r="B48" s="1" t="s">
        <v>5</v>
      </c>
      <c r="C48">
        <v>0</v>
      </c>
      <c r="D48" t="s">
        <v>16</v>
      </c>
      <c r="E48">
        <v>31</v>
      </c>
      <c r="F48">
        <v>1E-3</v>
      </c>
      <c r="G48">
        <v>4</v>
      </c>
      <c r="H48" s="2">
        <f t="shared" si="0"/>
        <v>7750</v>
      </c>
      <c r="I48" s="3">
        <v>1</v>
      </c>
    </row>
    <row r="49" spans="1:9" x14ac:dyDescent="0.2">
      <c r="A49" s="1" t="s">
        <v>12</v>
      </c>
      <c r="B49" s="1" t="s">
        <v>5</v>
      </c>
      <c r="C49">
        <v>0</v>
      </c>
      <c r="D49" t="s">
        <v>16</v>
      </c>
      <c r="E49">
        <v>22</v>
      </c>
      <c r="F49">
        <v>1E-3</v>
      </c>
      <c r="G49">
        <v>4</v>
      </c>
      <c r="H49" s="2">
        <f t="shared" si="0"/>
        <v>5500</v>
      </c>
      <c r="I49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2025-11-01T10:51:45Z</dcterms:created>
  <dcterms:modified xsi:type="dcterms:W3CDTF">2026-01-06T14:28:21Z</dcterms:modified>
</cp:coreProperties>
</file>